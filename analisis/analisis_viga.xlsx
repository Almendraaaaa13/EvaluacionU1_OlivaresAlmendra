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lumno\Desktop\evaluacion1\analisis\"/>
    </mc:Choice>
  </mc:AlternateContent>
  <xr:revisionPtr revIDLastSave="0" documentId="13_ncr:1_{8CB12C30-2AE7-4458-A525-9D343EB07A48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Parametr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8" i="2"/>
  <c r="D17" i="2"/>
  <c r="D16" i="2"/>
  <c r="D15" i="2"/>
  <c r="D14" i="2"/>
  <c r="D13" i="2"/>
  <c r="D12" i="2"/>
  <c r="C11" i="2"/>
  <c r="C12" i="2"/>
  <c r="C13" i="2"/>
  <c r="C14" i="2"/>
  <c r="C15" i="2"/>
  <c r="C16" i="2"/>
  <c r="C17" i="2"/>
  <c r="C18" i="2"/>
  <c r="C10" i="2"/>
  <c r="B6" i="2"/>
  <c r="B5" i="2"/>
</calcChain>
</file>

<file path=xl/sharedStrings.xml><?xml version="1.0" encoding="utf-8"?>
<sst xmlns="http://schemas.openxmlformats.org/spreadsheetml/2006/main" count="10" uniqueCount="10">
  <si>
    <t>Carga (kN)</t>
  </si>
  <si>
    <t>Deflexión medida (mm)</t>
  </si>
  <si>
    <t>Deflexión teórica (mm)</t>
  </si>
  <si>
    <t>Diferencia relativa (%)</t>
  </si>
  <si>
    <t>L (m)</t>
  </si>
  <si>
    <t>b</t>
  </si>
  <si>
    <t>h (m)</t>
  </si>
  <si>
    <t>E (Gpa)</t>
  </si>
  <si>
    <t>E (kN/m2)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</si>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</sst>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4" xfId="0" applyBorder="1"/>
    <xf numFmtId="2" fontId="0" fillId="0" borderId="2" xfId="0" applyNumberFormat="1" applyBorder="1"/>
    <xf numFmtId="2" fontId="0" fillId="0" borderId="4" xfId="0" applyNumberFormat="1" applyBorder="1"/>
    <xf numFmtId="0" fontId="0" fillId="0" borderId="2" xfId="0" applyBorder="1"/>
    <xf numFmtId="0" fontId="0" fillId="0" borderId="5" xfId="0" applyBorder="1"/>
    <xf numFmtId="2" fontId="0" fillId="0" borderId="5" xfId="0" applyNumberFormat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Carga-deflexión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Parametros!$B$9</c:f>
              <c:strCache>
                <c:ptCount val="1"/>
                <c:pt idx="0">
                  <c:v>Deflexión medida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Parametros!$A$10:$A$18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Parametros!$B$10:$B$18</c:f>
              <c:numCache>
                <c:formatCode>0.00</c:formatCode>
                <c:ptCount val="9"/>
                <c:pt idx="0">
                  <c:v>0</c:v>
                </c:pt>
                <c:pt idx="1">
                  <c:v>0.26</c:v>
                </c:pt>
                <c:pt idx="2">
                  <c:v>0.5</c:v>
                </c:pt>
                <c:pt idx="3">
                  <c:v>0.76</c:v>
                </c:pt>
                <c:pt idx="4">
                  <c:v>1.01</c:v>
                </c:pt>
                <c:pt idx="5">
                  <c:v>1.28</c:v>
                </c:pt>
                <c:pt idx="6">
                  <c:v>1.54</c:v>
                </c:pt>
                <c:pt idx="7">
                  <c:v>1.77</c:v>
                </c:pt>
                <c:pt idx="8">
                  <c:v>2.0499999999999998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B-41A8-AF1E-E3978947AF01}"/>
            </c:ext>
          </c:extLst>
        </c:ser>
        <c:ser>
          <c:idx val="1"/>
          <c:order val="1"/>
          <c:tx>
            <c:strRef>
              <c:f>Parametros!$C$9</c:f>
              <c:strCache>
                <c:ptCount val="1"/>
                <c:pt idx="0">
                  <c:v>Deflexión teórica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Parametros!$A$10:$A$18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numCache>
            </c:numRef>
          </c:xVal>
          <c:yVal>
            <c:numRef>
              <c:f>Parametros!$C$10:$C$18</c:f>
              <c:numCache>
                <c:formatCode>0.00</c:formatCode>
                <c:ptCount val="9"/>
                <c:pt idx="0">
                  <c:v>0</c:v>
                </c:pt>
                <c:pt idx="1">
                  <c:v>0.24999999999999994</c:v>
                </c:pt>
                <c:pt idx="2">
                  <c:v>0.49999999999999989</c:v>
                </c:pt>
                <c:pt idx="3">
                  <c:v>0.74999999999999989</c:v>
                </c:pt>
                <c:pt idx="4">
                  <c:v>0.99999999999999978</c:v>
                </c:pt>
                <c:pt idx="5">
                  <c:v>1.2499999999999998</c:v>
                </c:pt>
                <c:pt idx="6">
                  <c:v>1.4999999999999998</c:v>
                </c:pt>
                <c:pt idx="7">
                  <c:v>1.7499999999999996</c:v>
                </c:pt>
                <c:pt idx="8">
                  <c:v>1.9999999999999996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B-41A8-AF1E-E3978947A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293696"/>
        <c:axId val="2116863152"/>
      </c:scatterChart>
      <c:valAx>
        <c:axId val="211229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Carga</a:t>
                </a:r>
                <a:r>
                  <a:rPr lang="es-CL" baseline="0"/>
                  <a:t> (kN)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16863152"/>
        <c:crosses val="autoZero"/>
        <c:crossBetween val="midCat"/>
      </c:valAx>
      <c:valAx>
        <c:axId val="211686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Deflexión</a:t>
                </a:r>
                <a:r>
                  <a:rPr lang="es-CL" baseline="0"/>
                  <a:t> (mm)</a:t>
                </a: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1229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90094</xdr:colOff>
      <xdr:row>19</xdr:row>
      <xdr:rowOff>12123</xdr:rowOff>
    </xdr:from>
    <xdr:to>
      <xdr:col>7</xdr:col>
      <xdr:colOff>470065</xdr:colOff>
      <xdr:row>36</xdr:row>
      <xdr:rowOff>74221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C0F73C-A87C-6413-9C3E-331D3BE52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89AD-6989-459C-903B-C083C3050421}">
  <dimension ref="A1:D18"/>
  <sheetViews>
    <sheetView tabSelected="1" topLeftCell="A8" zoomScale="77" workbookViewId="0">
      <selection activeCell="B26" sqref="B26"/>
    </sheetView>
  </sheetViews>
  <sheetFormatPr baseColWidth="10" defaultRowHeight="14.5" x14ac:dyDescent="0.35"/>
  <cols>
    <col min="2" max="2" width="20.36328125" customWidth="1"/>
    <col min="3" max="3" width="19.81640625" customWidth="1"/>
    <col min="4" max="4" width="19.08984375" customWidth="1"/>
  </cols>
  <sheetData>
    <row r="1" spans="1:4" x14ac:dyDescent="0.35">
      <c r="A1" s="2" t="s">
        <v>4</v>
      </c>
      <c r="B1" s="1">
        <v>4</v>
      </c>
    </row>
    <row r="2" spans="1:4" x14ac:dyDescent="0.35">
      <c r="A2" s="2" t="s">
        <v>5</v>
      </c>
      <c r="B2" s="1">
        <v>0.2</v>
      </c>
    </row>
    <row r="3" spans="1:4" x14ac:dyDescent="0.35">
      <c r="A3" s="2" t="s">
        <v>6</v>
      </c>
      <c r="B3" s="1">
        <v>0.4</v>
      </c>
    </row>
    <row r="4" spans="1:4" x14ac:dyDescent="0.35">
      <c r="A4" s="2" t="s">
        <v>7</v>
      </c>
      <c r="B4" s="1">
        <v>25</v>
      </c>
    </row>
    <row r="5" spans="1:4" x14ac:dyDescent="0.35">
      <c r="A5" s="2" t="s">
        <v>8</v>
      </c>
      <c r="B5" s="1">
        <f>+B4*1000000</f>
        <v>25000000</v>
      </c>
    </row>
    <row r="6" spans="1:4" x14ac:dyDescent="0.35">
      <c r="A6" s="2" t="s">
        <v>9</v>
      </c>
      <c r="B6" s="1">
        <f>+(B2*B3*B3*B3)/12</f>
        <v>1.0666666666666669E-3</v>
      </c>
    </row>
    <row r="9" spans="1:4" x14ac:dyDescent="0.35">
      <c r="A9" s="2" t="s">
        <v>0</v>
      </c>
      <c r="B9" s="9" t="s">
        <v>1</v>
      </c>
      <c r="C9" s="2" t="s">
        <v>2</v>
      </c>
      <c r="D9" s="2" t="s">
        <v>3</v>
      </c>
    </row>
    <row r="10" spans="1:4" x14ac:dyDescent="0.35">
      <c r="A10" s="6">
        <v>0</v>
      </c>
      <c r="B10" s="4">
        <v>0</v>
      </c>
      <c r="C10" s="4">
        <f>+(A10*$B$1^3)/(48*$B$5*$B$6)*1000</f>
        <v>0</v>
      </c>
      <c r="D10" s="4">
        <v>0</v>
      </c>
    </row>
    <row r="11" spans="1:4" x14ac:dyDescent="0.35">
      <c r="A11" s="3">
        <v>5</v>
      </c>
      <c r="B11" s="5">
        <v>0.26</v>
      </c>
      <c r="C11" s="5">
        <f t="shared" ref="C11:C18" si="0">+(A11*$B$1^3)/(48*$B$5*$B$6)*1000</f>
        <v>0.24999999999999994</v>
      </c>
      <c r="D11" s="5">
        <f>+(ABS(B11-C11)/C11)*100</f>
        <v>4.0000000000000266</v>
      </c>
    </row>
    <row r="12" spans="1:4" x14ac:dyDescent="0.35">
      <c r="A12" s="3">
        <v>10</v>
      </c>
      <c r="B12" s="5">
        <v>0.5</v>
      </c>
      <c r="C12" s="5">
        <f t="shared" si="0"/>
        <v>0.49999999999999989</v>
      </c>
      <c r="D12" s="5">
        <f>+(ABS(B12-C12)/C12)*100</f>
        <v>2.2204460492503137E-14</v>
      </c>
    </row>
    <row r="13" spans="1:4" x14ac:dyDescent="0.35">
      <c r="A13" s="3">
        <v>15</v>
      </c>
      <c r="B13" s="5">
        <v>0.76</v>
      </c>
      <c r="C13" s="5">
        <f t="shared" si="0"/>
        <v>0.74999999999999989</v>
      </c>
      <c r="D13" s="5">
        <f>+(ABS(B13-C13)/C13)*100</f>
        <v>1.3333333333333495</v>
      </c>
    </row>
    <row r="14" spans="1:4" x14ac:dyDescent="0.35">
      <c r="A14" s="3">
        <v>20</v>
      </c>
      <c r="B14" s="5">
        <v>1.01</v>
      </c>
      <c r="C14" s="5">
        <f t="shared" si="0"/>
        <v>0.99999999999999978</v>
      </c>
      <c r="D14" s="5">
        <f>+(ABS(B14-C14)/C14)*100</f>
        <v>1.0000000000000233</v>
      </c>
    </row>
    <row r="15" spans="1:4" x14ac:dyDescent="0.35">
      <c r="A15" s="3">
        <v>25</v>
      </c>
      <c r="B15" s="5">
        <v>1.28</v>
      </c>
      <c r="C15" s="5">
        <f t="shared" si="0"/>
        <v>1.2499999999999998</v>
      </c>
      <c r="D15" s="5">
        <f>+(ABS(B15-C15)/C15)*100</f>
        <v>2.4000000000000203</v>
      </c>
    </row>
    <row r="16" spans="1:4" x14ac:dyDescent="0.35">
      <c r="A16" s="3">
        <v>30</v>
      </c>
      <c r="B16" s="5">
        <v>1.54</v>
      </c>
      <c r="C16" s="5">
        <f t="shared" si="0"/>
        <v>1.4999999999999998</v>
      </c>
      <c r="D16" s="5">
        <f>+(ABS(B16-C16)/C16)*100</f>
        <v>2.6666666666666843</v>
      </c>
    </row>
    <row r="17" spans="1:4" x14ac:dyDescent="0.35">
      <c r="A17" s="3">
        <v>35</v>
      </c>
      <c r="B17" s="5">
        <v>1.77</v>
      </c>
      <c r="C17" s="5">
        <f t="shared" si="0"/>
        <v>1.7499999999999996</v>
      </c>
      <c r="D17" s="5">
        <f>+(ABS(B17-C17)/C17)*100</f>
        <v>1.1428571428571697</v>
      </c>
    </row>
    <row r="18" spans="1:4" x14ac:dyDescent="0.35">
      <c r="A18" s="7">
        <v>40</v>
      </c>
      <c r="B18" s="8">
        <v>2.0499999999999998</v>
      </c>
      <c r="C18" s="8">
        <f t="shared" si="0"/>
        <v>1.9999999999999996</v>
      </c>
      <c r="D18" s="8">
        <f>+(ABS(B18-C18)/C18)*100</f>
        <v>2.5000000000000142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Matilda Perez</cp:lastModifiedBy>
  <dcterms:created xsi:type="dcterms:W3CDTF">2015-06-05T18:19:34Z</dcterms:created>
  <dcterms:modified xsi:type="dcterms:W3CDTF">2026-10-04T20:49:33Z</dcterms:modified>
</cp:coreProperties>
</file>